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aris7-ΕΑΠ\Freelancer\01. Projects\Excel Macros\34. michikodiby\"/>
    </mc:Choice>
  </mc:AlternateContent>
  <bookViews>
    <workbookView xWindow="0" yWindow="0" windowWidth="28800" windowHeight="12435"/>
  </bookViews>
  <sheets>
    <sheet name="Entry Form" sheetId="1" r:id="rId1"/>
    <sheet name="Dates" sheetId="2" r:id="rId2"/>
    <sheet name="AppMessages" sheetId="3" r:id="rId3"/>
    <sheet name="Schools" sheetId="4" r:id="rId4"/>
  </sheets>
  <definedNames>
    <definedName name="Schools_names">Schools!$A$2:$A$3</definedName>
    <definedName name="Universities">Schools!$A$2:$A$40</definedName>
  </definedNames>
  <calcPr calcId="152511"/>
</workbook>
</file>

<file path=xl/calcChain.xml><?xml version="1.0" encoding="utf-8"?>
<calcChain xmlns="http://schemas.openxmlformats.org/spreadsheetml/2006/main">
  <c r="S2" i="2" l="1"/>
  <c r="R2" i="2"/>
  <c r="Q2" i="2"/>
  <c r="P2" i="2"/>
  <c r="O2" i="2"/>
  <c r="N2" i="2"/>
  <c r="M2" i="2"/>
  <c r="L2" i="2"/>
  <c r="K2" i="2"/>
  <c r="J2" i="2"/>
  <c r="I2" i="2"/>
  <c r="H2" i="2"/>
  <c r="G2" i="2"/>
  <c r="F2" i="2"/>
  <c r="E2" i="2"/>
  <c r="D2" i="2"/>
</calcChain>
</file>

<file path=xl/sharedStrings.xml><?xml version="1.0" encoding="utf-8"?>
<sst xmlns="http://schemas.openxmlformats.org/spreadsheetml/2006/main" count="234" uniqueCount="179">
  <si>
    <t>Student Name</t>
  </si>
  <si>
    <t>School Name</t>
  </si>
  <si>
    <t>School Submission Date</t>
  </si>
  <si>
    <t>ENTER DATE</t>
  </si>
  <si>
    <t>DATE NAME</t>
  </si>
  <si>
    <t>CACULATED DATE</t>
  </si>
  <si>
    <t>APP MESSAGE</t>
  </si>
  <si>
    <t>DETAIL</t>
  </si>
  <si>
    <t>School ID</t>
  </si>
  <si>
    <t>Field</t>
  </si>
  <si>
    <t>SubmissionDate</t>
  </si>
  <si>
    <t>Full Name</t>
  </si>
  <si>
    <t>StartOnlineApp</t>
  </si>
  <si>
    <t>App Message</t>
  </si>
  <si>
    <t>NotifyRecommenders</t>
  </si>
  <si>
    <t>Detail</t>
  </si>
  <si>
    <t>DownloadRecForms</t>
  </si>
  <si>
    <t>RemindRecs</t>
  </si>
  <si>
    <t>SendSnailRec</t>
  </si>
  <si>
    <t>SendOnlineRec</t>
  </si>
  <si>
    <t>NotifyCounselor</t>
  </si>
  <si>
    <t>DownloadSchoolForm</t>
  </si>
  <si>
    <t>RemindCounselor</t>
  </si>
  <si>
    <t>SendSnailSchoolFrm</t>
  </si>
  <si>
    <t>SendOnlineSchoolFrm</t>
  </si>
  <si>
    <t>StartEssays</t>
  </si>
  <si>
    <t>SubmitSnailEssays</t>
  </si>
  <si>
    <t>SubmitOnlineEssays</t>
  </si>
  <si>
    <t>StartPortfolio</t>
  </si>
  <si>
    <t>SubmitPortfolio</t>
  </si>
  <si>
    <t>SATRegistrationDate</t>
  </si>
  <si>
    <t>LatestSAT</t>
  </si>
  <si>
    <t>ACTRegistration</t>
  </si>
  <si>
    <t>LatestACT</t>
  </si>
  <si>
    <t>Application Submission Date</t>
  </si>
  <si>
    <t>[School]'s application is due [submission date]</t>
  </si>
  <si>
    <t xml:space="preserve">This is the date that [school] needs to have every part of your application; from essays, to recommendations, to SAT scores.  If just one item comes in past this date, you are out of the running.   </t>
  </si>
  <si>
    <t>Application Start Date</t>
  </si>
  <si>
    <t>Start [school]'s application [startonlineapp]</t>
  </si>
  <si>
    <t xml:space="preserve">This is the date you should log into the online application system for this school and create a user, fill in your basic information and get your application started. </t>
  </si>
  <si>
    <t xml:space="preserve">Notify Recommenders </t>
  </si>
  <si>
    <t>Figure out who can be your recommender and ask them by [notifyrecommenders]</t>
  </si>
  <si>
    <t>Generally you want to figure out who will recommend you and notify them as early as possible.  Check the application to see how many recommenders you'll need.</t>
  </si>
  <si>
    <t>Download Recommendation Forms</t>
  </si>
  <si>
    <t xml:space="preserve">Download the blank receommendation forms and give them to your recommenders by [downloadrecforms].  If you're using an online application, encourage your recommender to login by this date. </t>
  </si>
  <si>
    <t xml:space="preserve">Either print the recommendation form from online apps or give your recommenders directions on how to get into the online app so they can start your recommendation. </t>
  </si>
  <si>
    <t>Remind Recommenders</t>
  </si>
  <si>
    <t xml:space="preserve">Check in with your recommenders by [remindrecs] and remind them to submit your recommendation </t>
  </si>
  <si>
    <t xml:space="preserve">Recommenders are usually very busy humans.  Your gentle and kind reminder will help them get their recommendation in on time. </t>
  </si>
  <si>
    <t>Send Snail Mail Recommendation</t>
  </si>
  <si>
    <t>Your recommenders should send hard copy (snail mail) recommendations by [SendSnailRec]</t>
  </si>
  <si>
    <t>This is a good safe date for your recommenders to send thier recommendations if they are mailing them vial regular mail (ie not online).</t>
  </si>
  <si>
    <t>Send Online Recommendation</t>
  </si>
  <si>
    <t>Your recommenders should submit online recommendations by [SendOnlineRec]</t>
  </si>
  <si>
    <t>This is a good safe date for your recommenders to submit their recommendations online.</t>
  </si>
  <si>
    <t>Notify Counselor</t>
  </si>
  <si>
    <t>Ask your high school counselor  to fill out a transcript and recommendation form.</t>
  </si>
  <si>
    <t xml:space="preserve">This is a good safe date to let your counselors know that </t>
  </si>
  <si>
    <t>Download School Forms</t>
  </si>
  <si>
    <t xml:space="preserve">Download the blank school forms and give them to your counselr by [downloadschoolform].  If you're using an online application, encourage your counselor to login by this date. </t>
  </si>
  <si>
    <t>Remind Counselor</t>
  </si>
  <si>
    <t xml:space="preserve">Check in with your counselor by [remindcounselor] and remind them to submit your school forms.  </t>
  </si>
  <si>
    <t xml:space="preserve">Recommenders are usually very busy humans.  Your gentle and kind reminder will help them get their school forms in on time. </t>
  </si>
  <si>
    <t>Send Snail School Recommendation</t>
  </si>
  <si>
    <t>Your counselor should send hard copy (snail mail) school forms by [SendSnailSchoolFrm]</t>
  </si>
  <si>
    <t>This is a good safe date for your counselors to send thier school forms if they are mailing them via regular mail (ie not online).</t>
  </si>
  <si>
    <t>Send Online School Forms</t>
  </si>
  <si>
    <t>Your couneslor should submit online school forms by [SendOnlineSchoolFrm]</t>
  </si>
  <si>
    <t>This is a good safe date for your counselor to submit school forms online.</t>
  </si>
  <si>
    <t>Start Essays</t>
  </si>
  <si>
    <t>You should start writing your essays on [StartEssays]</t>
  </si>
  <si>
    <t xml:space="preserve">Start your essays early.  Read and re-read what's required and start to think about how you will answer the essays.   Be careful to note the number of essays required. </t>
  </si>
  <si>
    <t>Submit Snail Essays</t>
  </si>
  <si>
    <t>If you are sending your essays via regular mail you should send them by [SubmitSnailEssays]</t>
  </si>
  <si>
    <t xml:space="preserve">Things happen.  Mail gets lost or misplaced.  So you want to mail your essays very early to allow time for things to go wrong, just in case you need to mail again. </t>
  </si>
  <si>
    <t xml:space="preserve">(note need a new date - verification date) </t>
  </si>
  <si>
    <t>Admission Type code</t>
  </si>
  <si>
    <t>Grad</t>
  </si>
  <si>
    <t>Undergrad</t>
  </si>
  <si>
    <t>Program</t>
  </si>
  <si>
    <t>Program Name</t>
  </si>
  <si>
    <t>School State</t>
  </si>
  <si>
    <t>PortfolioRequired</t>
  </si>
  <si>
    <t>CommonApp</t>
  </si>
  <si>
    <t>UniversalApp</t>
  </si>
  <si>
    <t>ApplicationFee</t>
  </si>
  <si>
    <t xml:space="preserve">Temple University </t>
  </si>
  <si>
    <t>School of Art</t>
  </si>
  <si>
    <t>PA</t>
  </si>
  <si>
    <t>RISD</t>
  </si>
  <si>
    <t>RI</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</si>
  <si>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</si>
  <si>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</si>
  <si>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</si>
  <si>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</si>
  <si>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</si>
  <si>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</si>
  <si>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</si>
  <si>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</si>
  <si>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</si>
  <si>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</si>
  <si>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</si>
  <si>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</si>
  <si>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</si>
  <si>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</si>
  <si>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</si>
  <si>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</si>
  <si>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</si>
  <si>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</si>
  <si>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</si>
  <si>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</si>
  <si>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</si>
  <si>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</si>
  <si>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</si>
  <si>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</si>
  <si>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</si>
  <si>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</si>
  <si>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</si>
  <si>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</si>
  <si>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</si>
  <si>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</si>
  <si>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</si>
  <si>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</si>
  <si>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</si>
  <si>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</si>
  <si>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</si>
  <si>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</si>
  <si>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</si>
  <si>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Submit Online Essays</t>
  </si>
  <si>
    <t>If you are sending your essays online you should send them by [SubmitOnlineEssays]</t>
  </si>
  <si>
    <t>You've been working hard on your essays. [SubmitOnlineEssays] is the day you should login to your online application system, and press the submit button.</t>
  </si>
  <si>
    <t>Start your Portfolio</t>
  </si>
  <si>
    <t>If you are creating a portfolio, you should start your portfolio on [StartPortfolio]</t>
  </si>
  <si>
    <t>Submit your Portfolio</t>
  </si>
  <si>
    <t>If you have a portfolio,  Submit it by [SubmitPortfolio]</t>
  </si>
  <si>
    <t xml:space="preserve">Your portfolio will probably need to be submitted online.  Check schools webpage to find out where and submit your portfolio there. </t>
  </si>
  <si>
    <t xml:space="preserve">Give yourself plenty of time to assemble your portfolio.  Start early, get advice about your best work from others, and maybe create a few more.  By thinking about this early, you'll have time to present your best works.   This would also be a good time to check the schools website and find out how the school wants you to submit your works.  Usually it's through an online portal.  So get familer with this link and how to upload to it. </t>
  </si>
  <si>
    <t>SAT Registration Date</t>
  </si>
  <si>
    <t>Register for the SAT by [SATRegistrationDate]</t>
  </si>
  <si>
    <t>Register for the ACT by [ACTRegistration]</t>
  </si>
  <si>
    <t>The SAT can cause a lot of stress.  Minimize your stress levels by taking the SAT early.  That way if you need to take it again, you'll have time.</t>
  </si>
  <si>
    <t>You should register for the SAT at the latest, by [LatestSAT]</t>
  </si>
  <si>
    <t>The schools need time to receive your SAT scores.  If you register any later than [LatestSAT] there's a large chance that your schools won't get your scores by the submission date</t>
  </si>
  <si>
    <t>Latest SAT Registration Date</t>
  </si>
  <si>
    <t>ACT Registration Date</t>
  </si>
  <si>
    <t>Latest ACT Registration Date</t>
  </si>
  <si>
    <t>You should register for the SAT at the latest, by [LatestACT]</t>
  </si>
  <si>
    <t>The ACT can cause a lot of stress.  Minimize your stress levels by taking the ACT  early.  That way if you need to take it again, you'll have time.</t>
  </si>
  <si>
    <t>The schools need time to receive your ACT scores.  If you register any later than [LatestACT] there's a large chance that your schools won't get your scores by the submission date</t>
  </si>
  <si>
    <t>SchoolID</t>
  </si>
  <si>
    <t xml:space="preserve">Register for the SAT by </t>
  </si>
  <si>
    <t xml:space="preserve">You should register for the SAT at the latest, by </t>
  </si>
  <si>
    <t>The schools need time to receive your SAT scores.  If you register any later than  there's a large chance that your schools won't get your scores by the submission date</t>
  </si>
  <si>
    <t xml:space="preserve">Register for the ACT by </t>
  </si>
  <si>
    <t>The schools need time to receive your ACT scores.  If you register any later than  there's a large chance that your schools won't get your scores by the submission date</t>
  </si>
  <si>
    <t>MyUniversity</t>
  </si>
  <si>
    <t xml:space="preserve">This is the date that MyUniversity needs to have every part of your application; from essays, to recommendations, to SAT scores.  If just one item comes in past this date, you are out of the running.   </t>
  </si>
  <si>
    <t>Friday</t>
  </si>
  <si>
    <t>Monday</t>
  </si>
  <si>
    <t>Wednesday</t>
  </si>
  <si>
    <t>Sunday</t>
  </si>
  <si>
    <t>Tuesday</t>
  </si>
  <si>
    <t>MyUniversity's application is due 1/5/2016</t>
  </si>
  <si>
    <t>Start MyUniversity's application 10/7/2015</t>
  </si>
  <si>
    <t>Figure out who can be your recommender and ask them by 11/6/2015</t>
  </si>
  <si>
    <t xml:space="preserve">Download the blank receommendation forms and give them to your recommenders by 11/6/2015.  If you're using an online application, encourage your recommender to login by this date. </t>
  </si>
  <si>
    <t xml:space="preserve">Check in with your recommenders by 12/6/2015 and remind them to submit your recommendation </t>
  </si>
  <si>
    <t>Your recommenders should send hard copy (snail mail) recommendations by 12/6/2015</t>
  </si>
  <si>
    <t>Your recommenders should submit online recommendations by 12/22/2015</t>
  </si>
  <si>
    <t xml:space="preserve">Download the blank school forms and give them to your counselr by 11/6/2015.  If you're using an online application, encourage your counselor to login by this date. </t>
  </si>
  <si>
    <t xml:space="preserve">Check in with your counselor by 12/6/2015 and remind them to submit your school forms.  </t>
  </si>
  <si>
    <t>Your counselor should send hard copy (snail mail) school forms by 12/6/2015</t>
  </si>
  <si>
    <t>Your couneslor should submit online school forms by 12/21/2015</t>
  </si>
  <si>
    <t>You should start writing your essays on 11/6/2015</t>
  </si>
  <si>
    <t>If you are sending your essays via regular mail you should send them by 12/6/2015</t>
  </si>
  <si>
    <t>If you are sending your essays online you should send them by 12/21/2015</t>
  </si>
  <si>
    <t>You've been working hard on your essays. 12/21/2015 is the day you should login to your online application system, and press the submit button.</t>
  </si>
  <si>
    <t>If you are creating a portfolio, you should start your portfolio on 11/6/2015</t>
  </si>
  <si>
    <t>If you have a portfolio,  Submit it by 12/6/2015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</si>
</sst>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
    <numFmt numFmtId="165" formatCode="mm/dd/yyyy"/>
  </numFmts>
  <fonts count="11" x14ac:knownFonts="1">
    <font>
      <sz val="10"/>
      <name val="Arial"/>
    </font>
    <font>
      <sz val="14"/>
      <name val="Arial"/>
    </font>
    <font>
      <sz val="12"/>
      <name val="Arial"/>
    </font>
    <font>
      <sz val="18"/>
      <name val="Arial"/>
    </font>
    <font>
      <sz val="10"/>
      <name val="Arial"/>
    </font>
    <font>
      <b/>
      <sz val="10"/>
      <name val="Arial"/>
    </font>
    <font>
      <b/>
      <sz val="10"/>
      <name val="Arial"/>
    </font>
    <font>
      <sz val="10"/>
      <name val="Arial"/>
      <family val="2"/>
      <charset val="161"/>
    </font>
    <font>
      <sz val="18"/>
      <name val="Arial"/>
      <family val="2"/>
      <charset val="161"/>
    </font>
    <font>
      <b/>
      <sz val="12"/>
      <name val="Arial"/>
      <family val="2"/>
      <charset val="161"/>
    </font>
    <font>
      <sz val="12"/>
      <name val="Arial"/>
      <family val="2"/>
      <charset val="161"/>
    </font>
  </fonts>
  <fills count="6">
    <fill>
      <patternFill patternType="none"/>
    </fill>
    <fill>
      <patternFill patternType="gray125"/>
    </fill>
    <fill>
      <patternFill patternType="solid">
        <fgColor rgb="FFFFD966"/>
        <bgColor rgb="FFFFD966"/>
      </patternFill>
    </fill>
    <fill>
      <patternFill patternType="solid">
        <fgColor rgb="FF00B050"/>
        <bgColor indexed="64"/>
      </patternFill>
    </fill>
    <fill>
      <patternFill patternType="solid">
        <fgColor rgb="FF808000"/>
        <bgColor indexed="64"/>
      </patternFill>
    </fill>
    <fill>
      <patternFill patternType="solid">
        <fgColor theme="9" tint="0.39997558519241921"/>
        <bgColor indexed="64"/>
      </patternFill>
    </fill>
  </fills>
  <borders count="2">
    <border>
      <left/>
      <right/>
      <top/>
      <bottom/>
      <diagonal/>
    </border>
    <border>
      <left/>
      <right/>
      <top/>
      <bottom/>
      <diagonal/>
    </border>
  </borders>
  <cellStyleXfs count="1">
    <xf numFmtId="0" fontId="0" fillId="0" borderId="0"/>
  </cellStyleXfs>
  <cellXfs count="46">
    <xf numFmtId="0" fontId="0" fillId="0" borderId="0" xfId="0"/>
    <xf numFmtId="0" fontId="6" fillId="0" borderId="1" xfId="0" applyFont="1" applyBorder="1" applyAlignment="1">
      <alignment wrapText="1"/>
    </xf>
    <xf numFmtId="0" fontId="6" fillId="0" borderId="1" xfId="0" applyFont="1" applyBorder="1" applyAlignment="1">
      <alignment wrapText="1"/>
    </xf>
    <xf numFmtId="0" fontId="4" fillId="0" borderId="1" xfId="0" applyFont="1" applyBorder="1" applyAlignment="1">
      <alignment wrapText="1"/>
    </xf>
    <xf numFmtId="0" fontId="6" fillId="0" borderId="1" xfId="0" applyFont="1" applyBorder="1" applyAlignment="1">
      <alignment horizontal="center" vertical="top" wrapText="1"/>
    </xf>
    <xf numFmtId="0" fontId="6" fillId="0" borderId="1" xfId="0" applyFont="1" applyBorder="1" applyAlignment="1">
      <alignment vertical="top" wrapText="1"/>
    </xf>
    <xf numFmtId="0" fontId="6" fillId="0" borderId="1" xfId="0" applyFont="1" applyBorder="1" applyAlignment="1">
      <alignment vertical="top" wrapText="1"/>
    </xf>
    <xf numFmtId="0" fontId="4" fillId="0" borderId="1" xfId="0" applyFont="1" applyBorder="1" applyAlignment="1">
      <alignment horizontal="center" wrapText="1"/>
    </xf>
    <xf numFmtId="164" fontId="4" fillId="0" borderId="1" xfId="0" applyNumberFormat="1" applyFont="1" applyBorder="1" applyAlignment="1">
      <alignment wrapText="1"/>
    </xf>
    <xf numFmtId="0" fontId="4" fillId="0" borderId="1" xfId="0" applyFont="1" applyBorder="1" applyAlignment="1">
      <alignment horizontal="center" wrapText="1"/>
    </xf>
    <xf numFmtId="0" fontId="0" fillId="0" borderId="0" xfId="0" applyAlignment="1">
      <alignment wrapText="1"/>
    </xf>
    <xf numFmtId="0" fontId="6" fillId="0" borderId="1" xfId="0" applyFont="1" applyBorder="1" applyAlignment="1">
      <alignment horizontal="left" vertical="center" wrapText="1"/>
    </xf>
    <xf numFmtId="0" fontId="4" fillId="0" borderId="1" xfId="0" applyFont="1" applyBorder="1" applyAlignment="1">
      <alignment horizontal="left" vertical="center" wrapText="1"/>
    </xf>
    <xf numFmtId="0" fontId="0" fillId="0" borderId="0" xfId="0" applyAlignment="1">
      <alignment horizontal="left" vertical="center"/>
    </xf>
    <xf numFmtId="165" fontId="6" fillId="0" borderId="1" xfId="0" applyNumberFormat="1" applyFont="1" applyBorder="1" applyAlignment="1">
      <alignment horizontal="center" vertical="center" wrapText="1"/>
    </xf>
    <xf numFmtId="165" fontId="4" fillId="0" borderId="1" xfId="0" applyNumberFormat="1" applyFont="1" applyBorder="1" applyAlignment="1">
      <alignment horizontal="center" vertical="center" wrapText="1"/>
    </xf>
    <xf numFmtId="165" fontId="0" fillId="0" borderId="0" xfId="0" applyNumberFormat="1" applyAlignment="1">
      <alignment horizontal="center" vertical="center"/>
    </xf>
    <xf numFmtId="0" fontId="7" fillId="0" borderId="0" xfId="0" applyFont="1" applyAlignment="1">
      <alignment wrapText="1"/>
    </xf>
    <xf numFmtId="165" fontId="6" fillId="0" borderId="1" xfId="0" applyNumberFormat="1" applyFont="1" applyBorder="1" applyAlignment="1">
      <alignment horizontal="left" vertical="center" wrapText="1"/>
    </xf>
    <xf numFmtId="165" fontId="4" fillId="0" borderId="1" xfId="0" applyNumberFormat="1" applyFont="1" applyBorder="1" applyAlignment="1">
      <alignment horizontal="left" vertical="center" wrapText="1"/>
    </xf>
    <xf numFmtId="165" fontId="0" fillId="0" borderId="0" xfId="0" applyNumberFormat="1" applyAlignment="1">
      <alignment horizontal="left" vertical="center"/>
    </xf>
    <xf numFmtId="165"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xf numFmtId="0" fontId="0" fillId="0" borderId="0" xfId="0" applyAlignment="1">
      <alignment vertical="center" wrapText="1"/>
    </xf>
    <xf numFmtId="165" fontId="0" fillId="0" borderId="0" xfId="0" applyNumberFormat="1" applyAlignment="1">
      <alignment horizontal="left" vertical="center" wrapText="1"/>
    </xf>
    <xf numFmtId="0" fontId="0" fillId="0" borderId="0" xfId="0" applyAlignment="1">
      <alignment horizontal="left" vertical="center" wrapText="1"/>
    </xf>
    <xf numFmtId="0" fontId="7" fillId="0" borderId="1" xfId="0" applyFont="1" applyBorder="1" applyAlignment="1">
      <alignment wrapText="1"/>
    </xf>
    <xf numFmtId="0" fontId="0" fillId="0" borderId="0" xfId="0" applyNumberFormat="1" applyAlignment="1">
      <alignment horizontal="center" vertical="center"/>
    </xf>
    <xf numFmtId="14" fontId="0" fillId="0" borderId="0" xfId="0" applyNumberFormat="1" applyAlignment="1">
      <alignment horizontal="left" vertical="center" wrapText="1"/>
    </xf>
    <xf numFmtId="0" fontId="5" fillId="3" borderId="1" xfId="0" applyNumberFormat="1" applyFont="1" applyFill="1" applyBorder="1" applyAlignment="1">
      <alignment horizontal="center" vertical="center" wrapText="1"/>
    </xf>
    <xf numFmtId="0" fontId="7" fillId="0" borderId="0" xfId="0" applyFont="1" applyAlignment="1">
      <alignment horizontal="left" vertical="center" wrapText="1"/>
    </xf>
    <xf numFmtId="0" fontId="9" fillId="2" borderId="1" xfId="0" applyFont="1" applyFill="1" applyBorder="1" applyAlignment="1">
      <alignment vertical="center" wrapText="1"/>
    </xf>
    <xf numFmtId="165" fontId="9" fillId="2"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wrapText="1"/>
    </xf>
    <xf numFmtId="0" fontId="1" fillId="4" borderId="1" xfId="0" applyFont="1" applyFill="1" applyBorder="1" applyAlignment="1">
      <alignment vertical="center" wrapText="1"/>
    </xf>
    <xf numFmtId="165" fontId="0" fillId="4" borderId="0" xfId="0" applyNumberFormat="1" applyFill="1" applyAlignment="1">
      <alignment horizontal="center" vertical="center" wrapText="1"/>
    </xf>
    <xf numFmtId="0" fontId="2" fillId="4" borderId="1" xfId="0" applyFont="1" applyFill="1" applyBorder="1" applyAlignment="1">
      <alignment vertical="center" wrapText="1"/>
    </xf>
    <xf numFmtId="0" fontId="0" fillId="4" borderId="0" xfId="0" applyFill="1" applyAlignment="1">
      <alignment vertical="center" wrapText="1"/>
    </xf>
    <xf numFmtId="0" fontId="3" fillId="4" borderId="1" xfId="0" applyFont="1" applyFill="1" applyBorder="1" applyAlignment="1">
      <alignment vertical="center" wrapText="1"/>
    </xf>
    <xf numFmtId="0" fontId="4" fillId="4" borderId="1" xfId="0" applyFont="1" applyFill="1" applyBorder="1" applyAlignment="1">
      <alignment vertical="center" wrapText="1"/>
    </xf>
    <xf numFmtId="165" fontId="0" fillId="5" borderId="0" xfId="0" applyNumberFormat="1" applyFill="1" applyAlignment="1">
      <alignment horizontal="center" vertical="center" wrapText="1"/>
    </xf>
    <xf numFmtId="165" fontId="8" fillId="5" borderId="0" xfId="0" applyNumberFormat="1" applyFont="1" applyFill="1" applyAlignment="1">
      <alignment horizontal="center" vertical="center" wrapText="1"/>
    </xf>
    <xf numFmtId="165" fontId="7" fillId="5" borderId="0" xfId="0" applyNumberFormat="1" applyFont="1" applyFill="1" applyAlignment="1">
      <alignment horizontal="center" vertical="center" wrapText="1"/>
    </xf>
  </cellXfs>
  <cellStyles count="1">
    <cellStyle name="Normal" xfId="0" builtinId="0"/>
  </cellStyles>
  <dxfs count="9">
    <dxf>
      <alignment horizontal="left" vertical="center" textRotation="0" wrapText="1" indent="0" justifyLastLine="0" shrinkToFit="0" readingOrder="0"/>
    </dxf>
    <dxf>
      <alignment horizontal="left" vertical="center" textRotation="0" wrapText="1" indent="0" justifyLastLine="0" shrinkToFit="0" readingOrder="0"/>
    </dxf>
    <dxf>
      <numFmt numFmtId="165" formatCode="mm/dd/yyyy"/>
      <alignment horizontal="left" vertical="center" textRotation="0" wrapText="1" indent="0" justifyLastLine="0" shrinkToFit="0" readingOrder="0"/>
    </dxf>
    <dxf>
      <alignment horizontal="general" vertical="center" textRotation="0" wrapText="1" indent="0" justifyLastLine="0" shrinkToFit="0" readingOrder="0"/>
    </dxf>
    <dxf>
      <fill>
        <patternFill>
          <bgColor rgb="FFFFC000"/>
        </patternFill>
      </fill>
    </dxf>
    <dxf>
      <fill>
        <patternFill>
          <bgColor rgb="FFFFFF00"/>
        </patternFill>
      </fill>
    </dxf>
    <dxf>
      <fill>
        <patternFill>
          <bgColor rgb="FF00B050"/>
        </patternFill>
      </fill>
    </dxf>
    <dxf>
      <fill>
        <patternFill>
          <bgColor theme="0"/>
        </patternFill>
      </fill>
    </dxf>
    <dxf>
      <font>
        <strike val="0"/>
        <outline val="0"/>
        <shadow val="0"/>
        <u val="none"/>
        <vertAlign val="baseline"/>
        <sz val="12"/>
        <color auto="1"/>
        <name val="Arial"/>
        <scheme val="none"/>
      </font>
    </dxf>
  </dxfs>
  <tableStyles count="0" defaultTableStyle="TableStyleMedium9" defaultPivotStyle="PivotStyleMedium4"/>
  <colors>
    <mruColors>
      <color rgb="FF808000"/>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1581150</xdr:colOff>
          <xdr:row>4</xdr:row>
          <xdr:rowOff>104775</xdr:rowOff>
        </xdr:from>
        <xdr:to>
          <xdr:col>2</xdr:col>
          <xdr:colOff>3962400</xdr:colOff>
          <xdr:row>4</xdr:row>
          <xdr:rowOff>495300</xdr:rowOff>
        </xdr:to>
        <xdr:sp macro="" textlink="">
          <xdr:nvSpPr>
            <xdr:cNvPr id="2050" name="Search"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Table2" displayName="Table2" ref="A9:D30" totalsRowShown="0" headerRowDxfId="8">
  <autoFilter ref="A9:D30"/>
  <sortState ref="A10:D30">
    <sortCondition descending="1" ref="B9:B30"/>
  </sortState>
  <tableColumns count="4">
    <tableColumn id="1" name="DATE NAME" dataDxfId="3"/>
    <tableColumn id="2" name="CACULATED DATE" dataDxfId="2"/>
    <tableColumn id="3" name="APP MESSAGE" dataDxfId="1"/>
    <tableColumn id="4" name="DETAIL" dataDxfId="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40"/>
  <sheetViews>
    <sheetView tabSelected="1" topLeftCell="A7" workbookViewId="0">
      <selection activeCell="B6" sqref="B6"/>
    </sheetView>
  </sheetViews>
  <sheetFormatPr defaultColWidth="17.28515625" defaultRowHeight="15.75" customHeight="1" x14ac:dyDescent="0.2"/>
  <cols>
    <col min="1" max="1" width="30.28515625" style="24" customWidth="1"/>
    <col min="2" max="2" width="28.85546875" style="21" customWidth="1"/>
    <col min="3" max="3" width="80.7109375" style="22" customWidth="1"/>
    <col min="4" max="4" width="98" style="22" customWidth="1"/>
    <col min="5" max="23" width="17.28515625" style="22"/>
    <col min="24" max="16384" width="17.28515625" style="10"/>
  </cols>
  <sheetData>
    <row r="1" spans="1:23" ht="18" x14ac:dyDescent="0.2">
      <c r="A1" s="37" t="s">
        <v>0</v>
      </c>
      <c r="B1" s="43"/>
    </row>
    <row r="2" spans="1:23" ht="15" x14ac:dyDescent="0.2">
      <c r="A2" s="39" t="s">
        <v>1</v>
      </c>
      <c r="B2" s="45" t="s">
        <v>155</v>
      </c>
    </row>
    <row r="3" spans="1:23" ht="12.75" x14ac:dyDescent="0.2">
      <c r="A3" s="40"/>
      <c r="B3" s="38"/>
    </row>
    <row r="4" spans="1:23" ht="12.75" x14ac:dyDescent="0.2">
      <c r="A4" s="40"/>
      <c r="B4" s="38"/>
    </row>
    <row r="5" spans="1:23" ht="46.5" x14ac:dyDescent="0.2">
      <c r="A5" s="41" t="s">
        <v>2</v>
      </c>
      <c r="B5" s="44">
        <v>42374</v>
      </c>
      <c r="C5" s="21"/>
    </row>
    <row r="6" spans="1:23" ht="12.75" x14ac:dyDescent="0.2">
      <c r="A6" s="42" t="s">
        <v>3</v>
      </c>
      <c r="B6" s="38"/>
    </row>
    <row r="9" spans="1:23" s="36" customFormat="1" ht="15.75" customHeight="1" x14ac:dyDescent="0.2">
      <c r="A9" s="32" t="s">
        <v>4</v>
      </c>
      <c r="B9" s="33" t="s">
        <v>5</v>
      </c>
      <c r="C9" s="34" t="s">
        <v>6</v>
      </c>
      <c r="D9" s="34" t="s">
        <v>7</v>
      </c>
      <c r="E9" s="35"/>
      <c r="F9" s="35"/>
      <c r="G9" s="35"/>
      <c r="H9" s="35"/>
      <c r="I9" s="35"/>
      <c r="J9" s="35"/>
      <c r="K9" s="35"/>
      <c r="L9" s="35"/>
      <c r="M9" s="35"/>
      <c r="N9" s="35"/>
      <c r="O9" s="35"/>
      <c r="P9" s="35"/>
      <c r="Q9" s="35"/>
      <c r="R9" s="35"/>
      <c r="S9" s="35"/>
      <c r="T9" s="35"/>
      <c r="U9" s="35"/>
      <c r="V9" s="35"/>
      <c r="W9" s="35"/>
    </row>
    <row r="10" spans="1:23" ht="54.95" customHeight="1" x14ac:dyDescent="0.2">
      <c r="A10" t="s">
        <v>161</v>
      </c>
      <c r="B10" s="29">
        <v>42374</v>
      </c>
      <c r="C10" s="26" t="s">
        <v>162</v>
      </c>
      <c r="D10" s="26" t="s">
        <v>156</v>
      </c>
      <c r="E10" s="26"/>
    </row>
    <row r="11" spans="1:23" ht="54.95" customHeight="1" x14ac:dyDescent="0.2">
      <c r="A11" t="s">
        <v>159</v>
      </c>
      <c r="B11" s="29">
        <v>42284</v>
      </c>
      <c r="C11" s="26" t="s">
        <v>163</v>
      </c>
      <c r="D11" s="26" t="s">
        <v>39</v>
      </c>
      <c r="E11" s="26"/>
    </row>
    <row r="12" spans="1:23" ht="54.95" customHeight="1" x14ac:dyDescent="0.2">
      <c r="A12" t="s">
        <v>157</v>
      </c>
      <c r="B12" s="29">
        <v>42314</v>
      </c>
      <c r="C12" s="26" t="s">
        <v>164</v>
      </c>
      <c r="D12" s="26" t="s">
        <v>42</v>
      </c>
      <c r="E12" s="26"/>
    </row>
    <row r="13" spans="1:23" ht="54.95" customHeight="1" x14ac:dyDescent="0.2">
      <c r="A13" t="s">
        <v>157</v>
      </c>
      <c r="B13" s="29">
        <v>42314</v>
      </c>
      <c r="C13" s="26" t="s">
        <v>165</v>
      </c>
      <c r="D13" s="26" t="s">
        <v>45</v>
      </c>
      <c r="E13" s="26"/>
    </row>
    <row r="14" spans="1:23" ht="54.95" customHeight="1" x14ac:dyDescent="0.2">
      <c r="A14" t="s">
        <v>160</v>
      </c>
      <c r="B14" s="29">
        <v>42344</v>
      </c>
      <c r="C14" s="26" t="s">
        <v>166</v>
      </c>
      <c r="D14" s="26" t="s">
        <v>48</v>
      </c>
      <c r="E14" s="26"/>
    </row>
    <row r="15" spans="1:23" ht="54.95" customHeight="1" x14ac:dyDescent="0.2">
      <c r="A15" t="s">
        <v>160</v>
      </c>
      <c r="B15" s="29">
        <v>42344</v>
      </c>
      <c r="C15" s="26" t="s">
        <v>167</v>
      </c>
      <c r="D15" s="26" t="s">
        <v>51</v>
      </c>
      <c r="E15" s="26"/>
    </row>
    <row r="16" spans="1:23" ht="54.95" customHeight="1" x14ac:dyDescent="0.2">
      <c r="A16" t="s">
        <v>161</v>
      </c>
      <c r="B16" s="29">
        <v>42360</v>
      </c>
      <c r="C16" s="26" t="s">
        <v>168</v>
      </c>
      <c r="D16" s="26" t="s">
        <v>54</v>
      </c>
      <c r="E16" s="26"/>
    </row>
    <row r="17" spans="1:5" ht="54.95" customHeight="1" x14ac:dyDescent="0.2">
      <c r="A17" t="s">
        <v>157</v>
      </c>
      <c r="B17" s="29">
        <v>42314</v>
      </c>
      <c r="C17" s="26" t="s">
        <v>56</v>
      </c>
      <c r="D17" s="26" t="s">
        <v>57</v>
      </c>
      <c r="E17" s="26"/>
    </row>
    <row r="18" spans="1:5" ht="54.95" customHeight="1" x14ac:dyDescent="0.2">
      <c r="A18" t="s">
        <v>157</v>
      </c>
      <c r="B18" s="29">
        <v>42314</v>
      </c>
      <c r="C18" s="26" t="s">
        <v>169</v>
      </c>
      <c r="D18" s="26" t="s">
        <v>45</v>
      </c>
      <c r="E18" s="26"/>
    </row>
    <row r="19" spans="1:5" ht="54.95" customHeight="1" x14ac:dyDescent="0.2">
      <c r="A19" t="s">
        <v>160</v>
      </c>
      <c r="B19" s="29">
        <v>42344</v>
      </c>
      <c r="C19" s="26" t="s">
        <v>170</v>
      </c>
      <c r="D19" s="26" t="s">
        <v>62</v>
      </c>
      <c r="E19" s="26"/>
    </row>
    <row r="20" spans="1:5" ht="54.95" customHeight="1" x14ac:dyDescent="0.2">
      <c r="A20" t="s">
        <v>160</v>
      </c>
      <c r="B20" s="29">
        <v>42344</v>
      </c>
      <c r="C20" s="26" t="s">
        <v>171</v>
      </c>
      <c r="D20" s="26" t="s">
        <v>65</v>
      </c>
      <c r="E20" s="26"/>
    </row>
    <row r="21" spans="1:5" ht="54.95" customHeight="1" x14ac:dyDescent="0.2">
      <c r="A21" t="s">
        <v>158</v>
      </c>
      <c r="B21" s="29">
        <v>42359</v>
      </c>
      <c r="C21" s="26" t="s">
        <v>172</v>
      </c>
      <c r="D21" s="26" t="s">
        <v>68</v>
      </c>
      <c r="E21" s="26"/>
    </row>
    <row r="22" spans="1:5" ht="54.95" customHeight="1" x14ac:dyDescent="0.2">
      <c r="A22" t="s">
        <v>157</v>
      </c>
      <c r="B22" s="29">
        <v>42314</v>
      </c>
      <c r="C22" s="26" t="s">
        <v>173</v>
      </c>
      <c r="D22" s="26" t="s">
        <v>71</v>
      </c>
      <c r="E22" s="26"/>
    </row>
    <row r="23" spans="1:5" ht="54.95" customHeight="1" x14ac:dyDescent="0.2">
      <c r="A23" t="s">
        <v>160</v>
      </c>
      <c r="B23" s="29">
        <v>42344</v>
      </c>
      <c r="C23" s="26" t="s">
        <v>174</v>
      </c>
      <c r="D23" s="26" t="s">
        <v>74</v>
      </c>
      <c r="E23" s="26"/>
    </row>
    <row r="24" spans="1:5" ht="54.95" customHeight="1" x14ac:dyDescent="0.2">
      <c r="A24" t="s">
        <v>158</v>
      </c>
      <c r="B24" s="29">
        <v>42359</v>
      </c>
      <c r="C24" s="26" t="s">
        <v>175</v>
      </c>
      <c r="D24" s="26" t="s">
        <v>176</v>
      </c>
      <c r="E24" s="26"/>
    </row>
    <row r="25" spans="1:5" ht="54.95" customHeight="1" x14ac:dyDescent="0.2">
      <c r="A25" t="s">
        <v>157</v>
      </c>
      <c r="B25" s="29">
        <v>42314</v>
      </c>
      <c r="C25" s="26" t="s">
        <v>177</v>
      </c>
      <c r="D25" s="26" t="s">
        <v>136</v>
      </c>
      <c r="E25" s="26"/>
    </row>
    <row r="26" spans="1:5" ht="54.95" customHeight="1" x14ac:dyDescent="0.2">
      <c r="A26" t="s">
        <v>160</v>
      </c>
      <c r="B26" s="29">
        <v>42344</v>
      </c>
      <c r="C26" s="26" t="s">
        <v>178</v>
      </c>
      <c r="D26" s="26" t="s">
        <v>135</v>
      </c>
      <c r="E26" s="26"/>
    </row>
    <row r="27" spans="1:5" ht="54.95" customHeight="1" x14ac:dyDescent="0.2">
      <c r="B27" s="25"/>
      <c r="C27" s="26" t="s">
        <v>150</v>
      </c>
      <c r="D27" s="26" t="s">
        <v>140</v>
      </c>
      <c r="E27" s="26"/>
    </row>
    <row r="28" spans="1:5" ht="54.95" customHeight="1" x14ac:dyDescent="0.2">
      <c r="B28" s="25"/>
      <c r="C28" s="26" t="s">
        <v>151</v>
      </c>
      <c r="D28" s="26" t="s">
        <v>152</v>
      </c>
      <c r="E28" s="26"/>
    </row>
    <row r="29" spans="1:5" ht="54.95" customHeight="1" x14ac:dyDescent="0.2">
      <c r="B29" s="25"/>
      <c r="C29" s="26" t="s">
        <v>153</v>
      </c>
      <c r="D29" s="26" t="s">
        <v>147</v>
      </c>
      <c r="E29" s="26"/>
    </row>
    <row r="30" spans="1:5" ht="54.95" customHeight="1" x14ac:dyDescent="0.2">
      <c r="B30" s="25"/>
      <c r="C30" s="26" t="s">
        <v>151</v>
      </c>
      <c r="D30" s="26" t="s">
        <v>154</v>
      </c>
      <c r="E30" s="26"/>
    </row>
    <row r="31" spans="1:5" ht="39.950000000000003" customHeight="1" x14ac:dyDescent="0.2">
      <c r="B31" s="25"/>
      <c r="C31" s="26"/>
      <c r="D31" s="26"/>
      <c r="E31" s="26"/>
    </row>
    <row r="32" spans="1:5" ht="39.950000000000003" customHeight="1" x14ac:dyDescent="0.2">
      <c r="B32" s="25"/>
      <c r="C32" s="26"/>
      <c r="D32" s="26"/>
      <c r="E32" s="26"/>
    </row>
    <row r="33" spans="2:5" ht="39.950000000000003" customHeight="1" x14ac:dyDescent="0.2">
      <c r="B33" s="25"/>
      <c r="C33" s="26"/>
      <c r="D33" s="26"/>
      <c r="E33" s="26"/>
    </row>
    <row r="34" spans="2:5" ht="39.950000000000003" customHeight="1" x14ac:dyDescent="0.2">
      <c r="B34" s="25"/>
      <c r="C34" s="26"/>
      <c r="D34" s="26"/>
      <c r="E34" s="26"/>
    </row>
    <row r="35" spans="2:5" ht="39.950000000000003" customHeight="1" x14ac:dyDescent="0.2">
      <c r="B35" s="25"/>
      <c r="C35" s="26"/>
      <c r="D35" s="26"/>
      <c r="E35" s="26"/>
    </row>
    <row r="36" spans="2:5" ht="39.950000000000003" customHeight="1" x14ac:dyDescent="0.2">
      <c r="B36" s="25"/>
      <c r="C36" s="26"/>
      <c r="D36" s="26"/>
      <c r="E36" s="26"/>
    </row>
    <row r="37" spans="2:5" ht="15.75" customHeight="1" x14ac:dyDescent="0.2">
      <c r="B37" s="25"/>
      <c r="C37" s="26"/>
      <c r="D37" s="26"/>
      <c r="E37" s="26"/>
    </row>
    <row r="38" spans="2:5" ht="15.75" customHeight="1" x14ac:dyDescent="0.2">
      <c r="B38" s="25"/>
      <c r="C38" s="26"/>
      <c r="D38" s="26"/>
      <c r="E38" s="26"/>
    </row>
    <row r="39" spans="2:5" ht="15.75" customHeight="1" x14ac:dyDescent="0.2">
      <c r="B39" s="25"/>
      <c r="C39" s="26"/>
      <c r="D39" s="26"/>
      <c r="E39" s="26"/>
    </row>
    <row r="40" spans="2:5" ht="15.75" customHeight="1" x14ac:dyDescent="0.2">
      <c r="B40" s="25"/>
      <c r="C40" s="26"/>
      <c r="D40" s="26"/>
      <c r="E40" s="26"/>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Search">
          <controlPr defaultSize="0" autoLine="0" r:id="rId5">
            <anchor moveWithCells="1">
              <from>
                <xdr:col>2</xdr:col>
                <xdr:colOff>1581150</xdr:colOff>
                <xdr:row>4</xdr:row>
                <xdr:rowOff>104775</xdr:rowOff>
              </from>
              <to>
                <xdr:col>2</xdr:col>
                <xdr:colOff>3962400</xdr:colOff>
                <xdr:row>4</xdr:row>
                <xdr:rowOff>495300</xdr:rowOff>
              </to>
            </anchor>
          </controlPr>
        </control>
      </mc:Choice>
      <mc:Fallback>
        <control shapeId="2050" r:id="rId4" name="Search"/>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6"/>
  <sheetViews>
    <sheetView workbookViewId="0">
      <pane xSplit="3" ySplit="1" topLeftCell="O2" activePane="bottomRight" state="frozen"/>
      <selection pane="topRight" activeCell="D1" sqref="D1"/>
      <selection pane="bottomLeft" activeCell="A2" sqref="A2"/>
      <selection pane="bottomRight" activeCell="C2" sqref="C2"/>
    </sheetView>
  </sheetViews>
  <sheetFormatPr defaultColWidth="17.28515625" defaultRowHeight="15.75" customHeight="1" x14ac:dyDescent="0.2"/>
  <cols>
    <col min="1" max="1" width="41.42578125" style="10" customWidth="1"/>
    <col min="2" max="2" width="25.28515625" style="28" customWidth="1"/>
    <col min="3" max="10" width="17.28515625" style="16"/>
    <col min="11" max="11" width="24.140625" style="16" customWidth="1"/>
    <col min="12" max="15" width="17.28515625" style="16"/>
    <col min="16" max="16" width="25.140625" style="16" customWidth="1"/>
    <col min="17" max="17" width="27.7109375" style="16" customWidth="1"/>
    <col min="18" max="23" width="17.28515625" style="16"/>
  </cols>
  <sheetData>
    <row r="1" spans="1:23" ht="25.5" x14ac:dyDescent="0.2">
      <c r="A1" s="2"/>
      <c r="B1" s="30" t="s">
        <v>149</v>
      </c>
      <c r="C1" s="14" t="s">
        <v>10</v>
      </c>
      <c r="D1" s="14" t="s">
        <v>12</v>
      </c>
      <c r="E1" s="14" t="s">
        <v>14</v>
      </c>
      <c r="F1" s="14" t="s">
        <v>16</v>
      </c>
      <c r="G1" s="14" t="s">
        <v>17</v>
      </c>
      <c r="H1" s="14" t="s">
        <v>18</v>
      </c>
      <c r="I1" s="14" t="s">
        <v>19</v>
      </c>
      <c r="J1" s="14" t="s">
        <v>20</v>
      </c>
      <c r="K1" s="14" t="s">
        <v>21</v>
      </c>
      <c r="L1" s="14" t="s">
        <v>22</v>
      </c>
      <c r="M1" s="14" t="s">
        <v>23</v>
      </c>
      <c r="N1" s="14" t="s">
        <v>24</v>
      </c>
      <c r="O1" s="14" t="s">
        <v>25</v>
      </c>
      <c r="P1" s="14" t="s">
        <v>26</v>
      </c>
      <c r="Q1" s="14" t="s">
        <v>27</v>
      </c>
      <c r="R1" s="14" t="s">
        <v>28</v>
      </c>
      <c r="S1" s="14" t="s">
        <v>29</v>
      </c>
      <c r="T1" s="14" t="s">
        <v>30</v>
      </c>
      <c r="U1" s="14" t="s">
        <v>31</v>
      </c>
      <c r="V1" s="14" t="s">
        <v>32</v>
      </c>
      <c r="W1" s="14" t="s">
        <v>33</v>
      </c>
    </row>
    <row r="2" spans="1:23" ht="12.75" x14ac:dyDescent="0.2">
      <c r="A2" s="3" t="s">
        <v>155</v>
      </c>
      <c r="B2" s="28">
        <v>77</v>
      </c>
      <c r="C2" s="15">
        <v>42374</v>
      </c>
      <c r="D2" s="15">
        <f t="shared" ref="D2" si="0">C2-90</f>
        <v>42284</v>
      </c>
      <c r="E2" s="15">
        <f t="shared" ref="E2" si="1">C2-60</f>
        <v>42314</v>
      </c>
      <c r="F2" s="15">
        <f>C2-60</f>
        <v>42314</v>
      </c>
      <c r="G2" s="15">
        <f t="shared" ref="G2" si="2">C2-30</f>
        <v>42344</v>
      </c>
      <c r="H2" s="15">
        <f t="shared" ref="H2" si="3">C2-30</f>
        <v>42344</v>
      </c>
      <c r="I2" s="15">
        <f t="shared" ref="I2" si="4">C2-14</f>
        <v>42360</v>
      </c>
      <c r="J2" s="15">
        <f t="shared" ref="J2" si="5">C2-60</f>
        <v>42314</v>
      </c>
      <c r="K2" s="15">
        <f t="shared" ref="K2" si="6">C2-60</f>
        <v>42314</v>
      </c>
      <c r="L2" s="15">
        <f t="shared" ref="L2" si="7">C2-30</f>
        <v>42344</v>
      </c>
      <c r="M2" s="15">
        <f t="shared" ref="M2" si="8">C2-30</f>
        <v>42344</v>
      </c>
      <c r="N2" s="15">
        <f t="shared" ref="N2" si="9">C2-15</f>
        <v>42359</v>
      </c>
      <c r="O2" s="15">
        <f t="shared" ref="O2" si="10">C2-60</f>
        <v>42314</v>
      </c>
      <c r="P2" s="15">
        <f t="shared" ref="P2" si="11">C2-30</f>
        <v>42344</v>
      </c>
      <c r="Q2" s="15">
        <f t="shared" ref="Q2" si="12">C2-15</f>
        <v>42359</v>
      </c>
      <c r="R2" s="15">
        <f t="shared" ref="R2" si="13">C2-60</f>
        <v>42314</v>
      </c>
      <c r="S2" s="15">
        <f t="shared" ref="S2" si="14">C2-30</f>
        <v>42344</v>
      </c>
      <c r="T2" s="15"/>
      <c r="U2" s="15"/>
      <c r="V2" s="15"/>
      <c r="W2" s="15"/>
    </row>
    <row r="3" spans="1:23" ht="12.75" x14ac:dyDescent="0.2">
      <c r="A3" s="3"/>
      <c r="C3" s="15"/>
      <c r="D3" s="15"/>
      <c r="E3" s="15"/>
      <c r="F3" s="15"/>
      <c r="G3" s="15"/>
      <c r="H3" s="15"/>
      <c r="I3" s="15"/>
      <c r="J3" s="15"/>
      <c r="K3" s="15"/>
      <c r="L3" s="15"/>
      <c r="M3" s="15"/>
      <c r="N3" s="15"/>
      <c r="O3" s="15"/>
      <c r="P3" s="15"/>
      <c r="Q3" s="15"/>
      <c r="R3" s="15"/>
      <c r="S3" s="15"/>
      <c r="T3" s="15"/>
      <c r="U3" s="15"/>
      <c r="V3" s="15"/>
      <c r="W3" s="15"/>
    </row>
    <row r="4" spans="1:23" ht="15.75" customHeight="1" x14ac:dyDescent="0.2">
      <c r="A4" s="17"/>
    </row>
    <row r="5" spans="1:23" ht="15.75" customHeight="1" x14ac:dyDescent="0.2">
      <c r="A5" s="17"/>
    </row>
    <row r="6" spans="1:23" ht="12.75" x14ac:dyDescent="0.2">
      <c r="A6" s="27"/>
    </row>
    <row r="10" spans="1:23" ht="15.75" customHeight="1" x14ac:dyDescent="0.2">
      <c r="A10"/>
    </row>
    <row r="11" spans="1:23" ht="15.75" customHeight="1" x14ac:dyDescent="0.2">
      <c r="A11"/>
    </row>
    <row r="12" spans="1:23" ht="15.75" customHeight="1" x14ac:dyDescent="0.2">
      <c r="A12"/>
    </row>
    <row r="13" spans="1:23" ht="15.75" customHeight="1" x14ac:dyDescent="0.2">
      <c r="A13"/>
    </row>
    <row r="14" spans="1:23" ht="15.75" customHeight="1" x14ac:dyDescent="0.2">
      <c r="A14"/>
    </row>
    <row r="15" spans="1:23" ht="15.75" customHeight="1" x14ac:dyDescent="0.2">
      <c r="A15"/>
    </row>
    <row r="16" spans="1:23" ht="15.75" customHeight="1" x14ac:dyDescent="0.2">
      <c r="A16"/>
    </row>
    <row r="17" spans="1:1" ht="15.75" customHeight="1" x14ac:dyDescent="0.2">
      <c r="A17"/>
    </row>
    <row r="18" spans="1:1" ht="15.75" customHeight="1" x14ac:dyDescent="0.2">
      <c r="A18"/>
    </row>
    <row r="19" spans="1:1" ht="15.75" customHeight="1" x14ac:dyDescent="0.2">
      <c r="A19"/>
    </row>
    <row r="20" spans="1:1" ht="15.75" customHeight="1" x14ac:dyDescent="0.2">
      <c r="A20"/>
    </row>
    <row r="21" spans="1:1" ht="15.75" customHeight="1" x14ac:dyDescent="0.2">
      <c r="A21"/>
    </row>
    <row r="22" spans="1:1" ht="15.75" customHeight="1" x14ac:dyDescent="0.2">
      <c r="A22"/>
    </row>
    <row r="23" spans="1:1" ht="15.75" customHeight="1" x14ac:dyDescent="0.2">
      <c r="A23"/>
    </row>
    <row r="24" spans="1:1" ht="15.75" customHeight="1" x14ac:dyDescent="0.2">
      <c r="A24"/>
    </row>
    <row r="25" spans="1:1" ht="15.75" customHeight="1" x14ac:dyDescent="0.2">
      <c r="A25"/>
    </row>
    <row r="26" spans="1:1" ht="15.75" customHeight="1" x14ac:dyDescent="0.2">
      <c r="A26"/>
    </row>
  </sheetData>
  <conditionalFormatting sqref="C1:W9 C27:W1048576 E10:W26">
    <cfRule type="cellIs" dxfId="7" priority="1" operator="equal">
      <formula>0</formula>
    </cfRule>
    <cfRule type="cellIs" dxfId="6" priority="2" operator="greaterThan">
      <formula>TODAY()</formula>
    </cfRule>
    <cfRule type="cellIs" dxfId="5" priority="3" operator="equal">
      <formula>TODAY()</formula>
    </cfRule>
    <cfRule type="cellIs" dxfId="4" priority="5" operator="lessThan">
      <formula>TODAY()</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22"/>
  <sheetViews>
    <sheetView topLeftCell="A13" workbookViewId="0">
      <selection activeCell="C23" sqref="C23"/>
    </sheetView>
  </sheetViews>
  <sheetFormatPr defaultColWidth="17.28515625" defaultRowHeight="12.75" x14ac:dyDescent="0.2"/>
  <cols>
    <col min="1" max="1" width="22.42578125" style="13" customWidth="1"/>
    <col min="2" max="2" width="29" style="20" customWidth="1"/>
    <col min="3" max="3" width="64" style="26" customWidth="1"/>
    <col min="4" max="4" width="98.42578125" style="13" customWidth="1"/>
    <col min="5" max="5" width="17.28515625" style="13"/>
    <col min="12" max="12" width="24.140625" customWidth="1"/>
    <col min="17" max="17" width="25.140625" customWidth="1"/>
    <col min="18" max="18" width="27.7109375" customWidth="1"/>
  </cols>
  <sheetData>
    <row r="1" spans="1:24" x14ac:dyDescent="0.2">
      <c r="A1" s="11" t="s">
        <v>9</v>
      </c>
      <c r="B1" s="18" t="s">
        <v>11</v>
      </c>
      <c r="C1" s="11" t="s">
        <v>13</v>
      </c>
      <c r="D1" s="11" t="s">
        <v>15</v>
      </c>
      <c r="E1" s="11"/>
      <c r="F1" s="1"/>
      <c r="G1" s="1"/>
      <c r="H1" s="1"/>
      <c r="I1" s="1"/>
      <c r="J1" s="1"/>
      <c r="K1" s="1"/>
      <c r="L1" s="1"/>
      <c r="M1" s="1"/>
      <c r="N1" s="1"/>
      <c r="O1" s="1"/>
      <c r="P1" s="1"/>
      <c r="Q1" s="1"/>
      <c r="R1" s="1"/>
      <c r="S1" s="1"/>
      <c r="T1" s="1"/>
      <c r="U1" s="1"/>
      <c r="V1" s="1"/>
      <c r="W1" s="1"/>
      <c r="X1" s="1"/>
    </row>
    <row r="2" spans="1:24" ht="54.95" customHeight="1" x14ac:dyDescent="0.2">
      <c r="A2" s="12" t="s">
        <v>10</v>
      </c>
      <c r="B2" s="19" t="s">
        <v>34</v>
      </c>
      <c r="C2" s="12" t="s">
        <v>35</v>
      </c>
      <c r="D2" s="12" t="s">
        <v>36</v>
      </c>
    </row>
    <row r="3" spans="1:24" ht="54.95" customHeight="1" x14ac:dyDescent="0.2">
      <c r="A3" s="12" t="s">
        <v>12</v>
      </c>
      <c r="B3" s="19" t="s">
        <v>37</v>
      </c>
      <c r="C3" s="12" t="s">
        <v>38</v>
      </c>
      <c r="D3" s="12" t="s">
        <v>39</v>
      </c>
    </row>
    <row r="4" spans="1:24" ht="54.95" customHeight="1" x14ac:dyDescent="0.2">
      <c r="A4" s="12" t="s">
        <v>14</v>
      </c>
      <c r="B4" s="19" t="s">
        <v>40</v>
      </c>
      <c r="C4" s="12" t="s">
        <v>41</v>
      </c>
      <c r="D4" s="12" t="s">
        <v>42</v>
      </c>
    </row>
    <row r="5" spans="1:24" ht="54.95" customHeight="1" x14ac:dyDescent="0.2">
      <c r="A5" s="12" t="s">
        <v>16</v>
      </c>
      <c r="B5" s="19" t="s">
        <v>43</v>
      </c>
      <c r="C5" s="12" t="s">
        <v>44</v>
      </c>
      <c r="D5" s="12" t="s">
        <v>45</v>
      </c>
    </row>
    <row r="6" spans="1:24" ht="54.95" customHeight="1" x14ac:dyDescent="0.2">
      <c r="A6" s="12" t="s">
        <v>17</v>
      </c>
      <c r="B6" s="19" t="s">
        <v>46</v>
      </c>
      <c r="C6" s="12" t="s">
        <v>47</v>
      </c>
      <c r="D6" s="12" t="s">
        <v>48</v>
      </c>
    </row>
    <row r="7" spans="1:24" ht="54.95" customHeight="1" x14ac:dyDescent="0.2">
      <c r="A7" s="12" t="s">
        <v>18</v>
      </c>
      <c r="B7" s="19" t="s">
        <v>49</v>
      </c>
      <c r="C7" s="12" t="s">
        <v>50</v>
      </c>
      <c r="D7" s="12" t="s">
        <v>51</v>
      </c>
    </row>
    <row r="8" spans="1:24" ht="54.95" customHeight="1" x14ac:dyDescent="0.2">
      <c r="A8" s="12" t="s">
        <v>19</v>
      </c>
      <c r="B8" s="19" t="s">
        <v>52</v>
      </c>
      <c r="C8" s="12" t="s">
        <v>53</v>
      </c>
      <c r="D8" s="12" t="s">
        <v>54</v>
      </c>
    </row>
    <row r="9" spans="1:24" ht="54.95" customHeight="1" x14ac:dyDescent="0.2">
      <c r="A9" s="12" t="s">
        <v>20</v>
      </c>
      <c r="B9" s="19" t="s">
        <v>55</v>
      </c>
      <c r="C9" s="12" t="s">
        <v>56</v>
      </c>
      <c r="D9" s="12" t="s">
        <v>57</v>
      </c>
    </row>
    <row r="10" spans="1:24" ht="54.95" customHeight="1" x14ac:dyDescent="0.2">
      <c r="A10" s="12" t="s">
        <v>21</v>
      </c>
      <c r="B10" s="19" t="s">
        <v>58</v>
      </c>
      <c r="C10" s="12" t="s">
        <v>59</v>
      </c>
      <c r="D10" s="12" t="s">
        <v>45</v>
      </c>
    </row>
    <row r="11" spans="1:24" ht="54.95" customHeight="1" x14ac:dyDescent="0.2">
      <c r="A11" s="12" t="s">
        <v>22</v>
      </c>
      <c r="B11" s="19" t="s">
        <v>60</v>
      </c>
      <c r="C11" s="12" t="s">
        <v>61</v>
      </c>
      <c r="D11" s="12" t="s">
        <v>62</v>
      </c>
    </row>
    <row r="12" spans="1:24" ht="54.95" customHeight="1" x14ac:dyDescent="0.2">
      <c r="A12" s="12" t="s">
        <v>23</v>
      </c>
      <c r="B12" s="19" t="s">
        <v>63</v>
      </c>
      <c r="C12" s="12" t="s">
        <v>64</v>
      </c>
      <c r="D12" s="12" t="s">
        <v>65</v>
      </c>
    </row>
    <row r="13" spans="1:24" ht="54.95" customHeight="1" x14ac:dyDescent="0.2">
      <c r="A13" s="12" t="s">
        <v>24</v>
      </c>
      <c r="B13" s="19" t="s">
        <v>66</v>
      </c>
      <c r="C13" s="12" t="s">
        <v>67</v>
      </c>
      <c r="D13" s="12" t="s">
        <v>68</v>
      </c>
    </row>
    <row r="14" spans="1:24" ht="54.95" customHeight="1" x14ac:dyDescent="0.2">
      <c r="A14" s="12" t="s">
        <v>25</v>
      </c>
      <c r="B14" s="19" t="s">
        <v>69</v>
      </c>
      <c r="C14" s="12" t="s">
        <v>70</v>
      </c>
      <c r="D14" s="12" t="s">
        <v>71</v>
      </c>
    </row>
    <row r="15" spans="1:24" ht="54.95" customHeight="1" x14ac:dyDescent="0.2">
      <c r="A15" s="12" t="s">
        <v>26</v>
      </c>
      <c r="B15" s="19" t="s">
        <v>72</v>
      </c>
      <c r="C15" s="12" t="s">
        <v>73</v>
      </c>
      <c r="D15" s="12" t="s">
        <v>74</v>
      </c>
      <c r="E15" s="12" t="s">
        <v>75</v>
      </c>
    </row>
    <row r="16" spans="1:24" ht="54.95" customHeight="1" x14ac:dyDescent="0.2">
      <c r="A16" s="12" t="s">
        <v>27</v>
      </c>
      <c r="B16" s="20" t="s">
        <v>128</v>
      </c>
      <c r="C16" s="31" t="s">
        <v>129</v>
      </c>
      <c r="D16" s="26" t="s">
        <v>130</v>
      </c>
    </row>
    <row r="17" spans="1:4" ht="54.95" customHeight="1" x14ac:dyDescent="0.2">
      <c r="A17" s="12" t="s">
        <v>28</v>
      </c>
      <c r="B17" s="20" t="s">
        <v>131</v>
      </c>
      <c r="C17" s="31" t="s">
        <v>132</v>
      </c>
      <c r="D17" s="26" t="s">
        <v>136</v>
      </c>
    </row>
    <row r="18" spans="1:4" ht="54.95" customHeight="1" x14ac:dyDescent="0.2">
      <c r="A18" s="12" t="s">
        <v>29</v>
      </c>
      <c r="B18" s="20" t="s">
        <v>133</v>
      </c>
      <c r="C18" s="31" t="s">
        <v>134</v>
      </c>
      <c r="D18" s="26" t="s">
        <v>135</v>
      </c>
    </row>
    <row r="19" spans="1:4" ht="54.95" customHeight="1" x14ac:dyDescent="0.2">
      <c r="A19" s="12" t="s">
        <v>30</v>
      </c>
      <c r="B19" s="20" t="s">
        <v>137</v>
      </c>
      <c r="C19" s="31" t="s">
        <v>138</v>
      </c>
      <c r="D19" s="26" t="s">
        <v>140</v>
      </c>
    </row>
    <row r="20" spans="1:4" ht="54.95" customHeight="1" x14ac:dyDescent="0.2">
      <c r="A20" s="12" t="s">
        <v>31</v>
      </c>
      <c r="B20" s="20" t="s">
        <v>143</v>
      </c>
      <c r="C20" s="31" t="s">
        <v>141</v>
      </c>
      <c r="D20" s="26" t="s">
        <v>142</v>
      </c>
    </row>
    <row r="21" spans="1:4" ht="54.95" customHeight="1" x14ac:dyDescent="0.2">
      <c r="A21" s="12" t="s">
        <v>32</v>
      </c>
      <c r="B21" s="20" t="s">
        <v>144</v>
      </c>
      <c r="C21" s="31" t="s">
        <v>139</v>
      </c>
      <c r="D21" s="26" t="s">
        <v>147</v>
      </c>
    </row>
    <row r="22" spans="1:4" ht="54.95" customHeight="1" x14ac:dyDescent="0.2">
      <c r="A22" s="12" t="s">
        <v>33</v>
      </c>
      <c r="B22" s="20" t="s">
        <v>145</v>
      </c>
      <c r="C22" s="31" t="s">
        <v>146</v>
      </c>
      <c r="D22" s="26" t="s">
        <v>148</v>
      </c>
    </row>
  </sheetData>
  <pageMargins left="0.70866141732283472" right="0.70866141732283472"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100"/>
  <sheetViews>
    <sheetView workbookViewId="0">
      <selection activeCell="A4" sqref="A4:B40"/>
    </sheetView>
  </sheetViews>
  <sheetFormatPr defaultColWidth="17.28515625" defaultRowHeight="15.75" customHeight="1" x14ac:dyDescent="0.2"/>
  <cols>
    <col min="1" max="2" width="19.42578125" customWidth="1"/>
    <col min="8" max="14" width="19.42578125" customWidth="1"/>
  </cols>
  <sheetData>
    <row r="1" spans="1:14" ht="15.75" customHeight="1" x14ac:dyDescent="0.2">
      <c r="A1" s="5" t="s">
        <v>1</v>
      </c>
      <c r="B1" s="4" t="s">
        <v>8</v>
      </c>
      <c r="C1" s="5" t="s">
        <v>76</v>
      </c>
      <c r="D1" s="5" t="s">
        <v>77</v>
      </c>
      <c r="E1" s="5" t="s">
        <v>78</v>
      </c>
      <c r="F1" s="5" t="s">
        <v>79</v>
      </c>
      <c r="G1" s="5" t="s">
        <v>80</v>
      </c>
      <c r="H1" s="5" t="s">
        <v>81</v>
      </c>
      <c r="I1" s="5" t="s">
        <v>82</v>
      </c>
      <c r="J1" s="5" t="s">
        <v>83</v>
      </c>
      <c r="K1" s="5" t="s">
        <v>84</v>
      </c>
      <c r="L1" s="5" t="s">
        <v>85</v>
      </c>
      <c r="M1" s="6"/>
      <c r="N1" s="6"/>
    </row>
    <row r="2" spans="1:14" ht="15.75" customHeight="1" x14ac:dyDescent="0.2">
      <c r="A2" s="3" t="s">
        <v>86</v>
      </c>
      <c r="B2" s="7">
        <v>2906</v>
      </c>
      <c r="C2" s="3">
        <v>1</v>
      </c>
      <c r="D2" s="3">
        <v>0</v>
      </c>
      <c r="E2" s="3">
        <v>1</v>
      </c>
      <c r="F2" s="3">
        <v>22</v>
      </c>
      <c r="G2" s="3" t="s">
        <v>87</v>
      </c>
      <c r="H2" s="3" t="s">
        <v>88</v>
      </c>
      <c r="I2" s="3">
        <v>1</v>
      </c>
      <c r="J2" s="3">
        <v>0</v>
      </c>
      <c r="K2" s="3">
        <v>0</v>
      </c>
      <c r="L2" s="8">
        <v>55</v>
      </c>
    </row>
    <row r="3" spans="1:14" ht="15.75" customHeight="1" x14ac:dyDescent="0.2">
      <c r="A3" s="3" t="s">
        <v>89</v>
      </c>
      <c r="B3" s="7">
        <v>3726</v>
      </c>
      <c r="C3" s="3">
        <v>1</v>
      </c>
      <c r="D3" s="3">
        <v>0</v>
      </c>
      <c r="E3" s="3">
        <v>1</v>
      </c>
      <c r="F3" s="3">
        <v>0</v>
      </c>
      <c r="H3" s="3" t="s">
        <v>90</v>
      </c>
      <c r="I3" s="3">
        <v>1</v>
      </c>
      <c r="J3" s="3">
        <v>1</v>
      </c>
      <c r="K3" s="3">
        <v>0</v>
      </c>
      <c r="L3" s="8">
        <v>60</v>
      </c>
    </row>
    <row r="4" spans="1:14" ht="15.75" customHeight="1" x14ac:dyDescent="0.2">
      <c r="A4" s="23" t="s">
        <v>91</v>
      </c>
      <c r="B4" s="9">
        <v>1</v>
      </c>
    </row>
    <row r="5" spans="1:14" ht="15.75" customHeight="1" x14ac:dyDescent="0.2">
      <c r="A5" s="23" t="s">
        <v>92</v>
      </c>
      <c r="B5" s="9">
        <v>2</v>
      </c>
    </row>
    <row r="6" spans="1:14" ht="15.75" customHeight="1" x14ac:dyDescent="0.2">
      <c r="A6" s="23" t="s">
        <v>93</v>
      </c>
      <c r="B6" s="9">
        <v>3</v>
      </c>
    </row>
    <row r="7" spans="1:14" ht="15.75" customHeight="1" x14ac:dyDescent="0.2">
      <c r="A7" s="23" t="s">
        <v>94</v>
      </c>
      <c r="B7" s="9">
        <v>4</v>
      </c>
    </row>
    <row r="8" spans="1:14" ht="15.75" customHeight="1" x14ac:dyDescent="0.2">
      <c r="A8" s="23" t="s">
        <v>95</v>
      </c>
      <c r="B8" s="9">
        <v>5</v>
      </c>
    </row>
    <row r="9" spans="1:14" ht="15.75" customHeight="1" x14ac:dyDescent="0.2">
      <c r="A9" s="23" t="s">
        <v>96</v>
      </c>
      <c r="B9" s="9">
        <v>6</v>
      </c>
    </row>
    <row r="10" spans="1:14" ht="15.75" customHeight="1" x14ac:dyDescent="0.2">
      <c r="A10" s="23" t="s">
        <v>97</v>
      </c>
      <c r="B10" s="9">
        <v>7</v>
      </c>
    </row>
    <row r="11" spans="1:14" ht="15.75" customHeight="1" x14ac:dyDescent="0.2">
      <c r="A11" s="23" t="s">
        <v>98</v>
      </c>
      <c r="B11" s="9">
        <v>8</v>
      </c>
    </row>
    <row r="12" spans="1:14" ht="15.75" customHeight="1" x14ac:dyDescent="0.2">
      <c r="A12" s="23" t="s">
        <v>99</v>
      </c>
      <c r="B12" s="9">
        <v>9</v>
      </c>
    </row>
    <row r="13" spans="1:14" ht="15.75" customHeight="1" x14ac:dyDescent="0.2">
      <c r="A13" s="23" t="s">
        <v>100</v>
      </c>
      <c r="B13" s="9">
        <v>10</v>
      </c>
    </row>
    <row r="14" spans="1:14" ht="15.75" customHeight="1" x14ac:dyDescent="0.2">
      <c r="A14" s="23" t="s">
        <v>101</v>
      </c>
      <c r="B14" s="9">
        <v>11</v>
      </c>
    </row>
    <row r="15" spans="1:14" ht="15.75" customHeight="1" x14ac:dyDescent="0.2">
      <c r="A15" s="23" t="s">
        <v>102</v>
      </c>
      <c r="B15" s="9">
        <v>12</v>
      </c>
    </row>
    <row r="16" spans="1:14" ht="15.75" customHeight="1" x14ac:dyDescent="0.2">
      <c r="A16" s="23" t="s">
        <v>103</v>
      </c>
      <c r="B16" s="9">
        <v>13</v>
      </c>
    </row>
    <row r="17" spans="1:2" ht="15.75" customHeight="1" x14ac:dyDescent="0.2">
      <c r="A17" s="23" t="s">
        <v>104</v>
      </c>
      <c r="B17" s="9">
        <v>14</v>
      </c>
    </row>
    <row r="18" spans="1:2" ht="15.75" customHeight="1" x14ac:dyDescent="0.2">
      <c r="A18" s="23" t="s">
        <v>105</v>
      </c>
      <c r="B18" s="9">
        <v>15</v>
      </c>
    </row>
    <row r="19" spans="1:2" ht="15.75" customHeight="1" x14ac:dyDescent="0.2">
      <c r="A19" s="23" t="s">
        <v>106</v>
      </c>
      <c r="B19" s="9">
        <v>16</v>
      </c>
    </row>
    <row r="20" spans="1:2" ht="15.75" customHeight="1" x14ac:dyDescent="0.2">
      <c r="A20" s="23" t="s">
        <v>107</v>
      </c>
      <c r="B20" s="9">
        <v>17</v>
      </c>
    </row>
    <row r="21" spans="1:2" ht="15.75" customHeight="1" x14ac:dyDescent="0.2">
      <c r="A21" s="23" t="s">
        <v>108</v>
      </c>
      <c r="B21" s="9">
        <v>18</v>
      </c>
    </row>
    <row r="22" spans="1:2" ht="15.75" customHeight="1" x14ac:dyDescent="0.2">
      <c r="A22" s="23" t="s">
        <v>109</v>
      </c>
      <c r="B22" s="9">
        <v>19</v>
      </c>
    </row>
    <row r="23" spans="1:2" ht="15.75" customHeight="1" x14ac:dyDescent="0.2">
      <c r="A23" s="23" t="s">
        <v>110</v>
      </c>
      <c r="B23" s="9">
        <v>20</v>
      </c>
    </row>
    <row r="24" spans="1:2" ht="15.75" customHeight="1" x14ac:dyDescent="0.2">
      <c r="A24" s="23" t="s">
        <v>111</v>
      </c>
      <c r="B24" s="9">
        <v>21</v>
      </c>
    </row>
    <row r="25" spans="1:2" ht="15.75" customHeight="1" x14ac:dyDescent="0.2">
      <c r="A25" s="23" t="s">
        <v>112</v>
      </c>
      <c r="B25" s="9">
        <v>22</v>
      </c>
    </row>
    <row r="26" spans="1:2" ht="15.75" customHeight="1" x14ac:dyDescent="0.2">
      <c r="A26" s="23" t="s">
        <v>113</v>
      </c>
      <c r="B26" s="9">
        <v>23</v>
      </c>
    </row>
    <row r="27" spans="1:2" ht="15.75" customHeight="1" x14ac:dyDescent="0.2">
      <c r="A27" s="23" t="s">
        <v>114</v>
      </c>
      <c r="B27" s="9">
        <v>24</v>
      </c>
    </row>
    <row r="28" spans="1:2" ht="15.75" customHeight="1" x14ac:dyDescent="0.2">
      <c r="A28" s="23" t="s">
        <v>115</v>
      </c>
      <c r="B28" s="9">
        <v>25</v>
      </c>
    </row>
    <row r="29" spans="1:2" ht="15.75" customHeight="1" x14ac:dyDescent="0.2">
      <c r="A29" s="23" t="s">
        <v>116</v>
      </c>
      <c r="B29" s="9">
        <v>26</v>
      </c>
    </row>
    <row r="30" spans="1:2" ht="15.75" customHeight="1" x14ac:dyDescent="0.2">
      <c r="A30" s="23" t="s">
        <v>117</v>
      </c>
      <c r="B30" s="9">
        <v>27</v>
      </c>
    </row>
    <row r="31" spans="1:2" ht="15.75" customHeight="1" x14ac:dyDescent="0.2">
      <c r="A31" s="23" t="s">
        <v>118</v>
      </c>
      <c r="B31" s="9">
        <v>28</v>
      </c>
    </row>
    <row r="32" spans="1:2" ht="15.75" customHeight="1" x14ac:dyDescent="0.2">
      <c r="A32" s="23" t="s">
        <v>119</v>
      </c>
      <c r="B32" s="9">
        <v>29</v>
      </c>
    </row>
    <row r="33" spans="1:2" ht="15.75" customHeight="1" x14ac:dyDescent="0.2">
      <c r="A33" s="23" t="s">
        <v>120</v>
      </c>
      <c r="B33" s="9">
        <v>30</v>
      </c>
    </row>
    <row r="34" spans="1:2" ht="15.75" customHeight="1" x14ac:dyDescent="0.2">
      <c r="A34" s="23" t="s">
        <v>121</v>
      </c>
      <c r="B34" s="9">
        <v>31</v>
      </c>
    </row>
    <row r="35" spans="1:2" ht="15.75" customHeight="1" x14ac:dyDescent="0.2">
      <c r="A35" s="23" t="s">
        <v>122</v>
      </c>
      <c r="B35" s="9">
        <v>32</v>
      </c>
    </row>
    <row r="36" spans="1:2" ht="15.75" customHeight="1" x14ac:dyDescent="0.2">
      <c r="A36" s="23" t="s">
        <v>123</v>
      </c>
      <c r="B36" s="9">
        <v>33</v>
      </c>
    </row>
    <row r="37" spans="1:2" ht="15.75" customHeight="1" x14ac:dyDescent="0.2">
      <c r="A37" s="23" t="s">
        <v>124</v>
      </c>
      <c r="B37" s="9">
        <v>34</v>
      </c>
    </row>
    <row r="38" spans="1:2" ht="15.75" customHeight="1" x14ac:dyDescent="0.2">
      <c r="A38" s="23" t="s">
        <v>125</v>
      </c>
      <c r="B38" s="9">
        <v>35</v>
      </c>
    </row>
    <row r="39" spans="1:2" ht="15.75" customHeight="1" x14ac:dyDescent="0.2">
      <c r="A39" s="23" t="s">
        <v>126</v>
      </c>
      <c r="B39" s="9">
        <v>36</v>
      </c>
    </row>
    <row r="40" spans="1:2" ht="15.75" customHeight="1" x14ac:dyDescent="0.2">
      <c r="A40" s="23" t="s">
        <v>127</v>
      </c>
      <c r="B40" s="9">
        <v>37</v>
      </c>
    </row>
    <row r="41" spans="1:2" ht="15.75" customHeight="1" x14ac:dyDescent="0.2">
      <c r="A41" s="9"/>
      <c r="B41" s="9"/>
    </row>
    <row r="42" spans="1:2" ht="15.75" customHeight="1" x14ac:dyDescent="0.2">
      <c r="A42" s="9"/>
      <c r="B42" s="9"/>
    </row>
    <row r="43" spans="1:2" ht="12.75" x14ac:dyDescent="0.2">
      <c r="A43" s="9"/>
      <c r="B43" s="9"/>
    </row>
    <row r="44" spans="1:2" ht="12.75" x14ac:dyDescent="0.2">
      <c r="A44" s="9"/>
      <c r="B44" s="9"/>
    </row>
    <row r="45" spans="1:2" ht="12.75" x14ac:dyDescent="0.2">
      <c r="A45" s="9"/>
      <c r="B45" s="9"/>
    </row>
    <row r="46" spans="1:2" ht="12.75" x14ac:dyDescent="0.2">
      <c r="A46" s="9"/>
      <c r="B46" s="9"/>
    </row>
    <row r="47" spans="1:2" ht="12.75" x14ac:dyDescent="0.2">
      <c r="A47" s="9"/>
      <c r="B47" s="9"/>
    </row>
    <row r="48" spans="1:2" ht="12.75" x14ac:dyDescent="0.2">
      <c r="A48" s="9"/>
      <c r="B48" s="9"/>
    </row>
    <row r="49" spans="1:2" ht="12.75" x14ac:dyDescent="0.2">
      <c r="A49" s="9"/>
      <c r="B49" s="9"/>
    </row>
    <row r="50" spans="1:2" ht="12.75" x14ac:dyDescent="0.2">
      <c r="A50" s="9"/>
      <c r="B50" s="9"/>
    </row>
    <row r="51" spans="1:2" ht="12.75" x14ac:dyDescent="0.2">
      <c r="A51" s="9"/>
      <c r="B51" s="9"/>
    </row>
    <row r="52" spans="1:2" ht="12.75" x14ac:dyDescent="0.2">
      <c r="A52" s="9"/>
      <c r="B52" s="9"/>
    </row>
    <row r="53" spans="1:2" ht="12.75" x14ac:dyDescent="0.2">
      <c r="A53" s="9"/>
      <c r="B53" s="9"/>
    </row>
    <row r="54" spans="1:2" ht="12.75" x14ac:dyDescent="0.2">
      <c r="A54" s="9"/>
      <c r="B54" s="9"/>
    </row>
    <row r="55" spans="1:2" ht="12.75" x14ac:dyDescent="0.2">
      <c r="A55" s="9"/>
      <c r="B55" s="9"/>
    </row>
    <row r="56" spans="1:2" ht="12.75" x14ac:dyDescent="0.2">
      <c r="A56" s="9"/>
      <c r="B56" s="9"/>
    </row>
    <row r="57" spans="1:2" ht="12.75" x14ac:dyDescent="0.2">
      <c r="A57" s="9"/>
      <c r="B57" s="9"/>
    </row>
    <row r="58" spans="1:2" ht="12.75" x14ac:dyDescent="0.2">
      <c r="A58" s="9"/>
      <c r="B58" s="9"/>
    </row>
    <row r="59" spans="1:2" ht="12.75" x14ac:dyDescent="0.2">
      <c r="A59" s="9"/>
      <c r="B59" s="9"/>
    </row>
    <row r="60" spans="1:2" ht="12.75" x14ac:dyDescent="0.2">
      <c r="A60" s="9"/>
      <c r="B60" s="9"/>
    </row>
    <row r="61" spans="1:2" ht="12.75" x14ac:dyDescent="0.2">
      <c r="A61" s="9"/>
      <c r="B61" s="9"/>
    </row>
    <row r="62" spans="1:2" ht="12.75" x14ac:dyDescent="0.2">
      <c r="A62" s="9"/>
      <c r="B62" s="9"/>
    </row>
    <row r="63" spans="1:2" ht="12.75" x14ac:dyDescent="0.2">
      <c r="A63" s="9"/>
      <c r="B63" s="9"/>
    </row>
    <row r="64" spans="1:2" ht="12.75" x14ac:dyDescent="0.2">
      <c r="A64" s="9"/>
      <c r="B64" s="9"/>
    </row>
    <row r="65" spans="1:2" ht="12.75" x14ac:dyDescent="0.2">
      <c r="A65" s="9"/>
      <c r="B65" s="9"/>
    </row>
    <row r="66" spans="1:2" ht="12.75" x14ac:dyDescent="0.2">
      <c r="A66" s="9"/>
      <c r="B66" s="9"/>
    </row>
    <row r="67" spans="1:2" ht="12.75" x14ac:dyDescent="0.2">
      <c r="A67" s="9"/>
      <c r="B67" s="9"/>
    </row>
    <row r="68" spans="1:2" ht="12.75" x14ac:dyDescent="0.2">
      <c r="A68" s="9"/>
      <c r="B68" s="9"/>
    </row>
    <row r="69" spans="1:2" ht="12.75" x14ac:dyDescent="0.2">
      <c r="A69" s="9"/>
      <c r="B69" s="9"/>
    </row>
    <row r="70" spans="1:2" ht="12.75" x14ac:dyDescent="0.2">
      <c r="A70" s="9"/>
      <c r="B70" s="9"/>
    </row>
    <row r="71" spans="1:2" ht="12.75" x14ac:dyDescent="0.2">
      <c r="A71" s="9"/>
      <c r="B71" s="9"/>
    </row>
    <row r="72" spans="1:2" ht="12.75" x14ac:dyDescent="0.2">
      <c r="A72" s="9"/>
      <c r="B72" s="9"/>
    </row>
    <row r="73" spans="1:2" ht="12.75" x14ac:dyDescent="0.2">
      <c r="A73" s="9"/>
      <c r="B73" s="9"/>
    </row>
    <row r="74" spans="1:2" ht="12.75" x14ac:dyDescent="0.2">
      <c r="A74" s="9"/>
      <c r="B74" s="9"/>
    </row>
    <row r="75" spans="1:2" ht="12.75" x14ac:dyDescent="0.2">
      <c r="A75" s="9"/>
      <c r="B75" s="9"/>
    </row>
    <row r="76" spans="1:2" ht="12.75" x14ac:dyDescent="0.2">
      <c r="A76" s="9"/>
      <c r="B76" s="9"/>
    </row>
    <row r="77" spans="1:2" ht="12.75" x14ac:dyDescent="0.2">
      <c r="A77" s="9"/>
      <c r="B77" s="9"/>
    </row>
    <row r="78" spans="1:2" ht="12.75" x14ac:dyDescent="0.2">
      <c r="A78" s="9"/>
      <c r="B78" s="9"/>
    </row>
    <row r="79" spans="1:2" ht="12.75" x14ac:dyDescent="0.2">
      <c r="A79" s="9"/>
      <c r="B79" s="9"/>
    </row>
    <row r="80" spans="1:2" ht="12.75" x14ac:dyDescent="0.2">
      <c r="A80" s="9"/>
      <c r="B80" s="9"/>
    </row>
    <row r="81" spans="1:2" ht="12.75" x14ac:dyDescent="0.2">
      <c r="A81" s="9"/>
      <c r="B81" s="9"/>
    </row>
    <row r="82" spans="1:2" ht="12.75" x14ac:dyDescent="0.2">
      <c r="A82" s="9"/>
      <c r="B82" s="9"/>
    </row>
    <row r="83" spans="1:2" ht="12.75" x14ac:dyDescent="0.2">
      <c r="A83" s="9"/>
      <c r="B83" s="9"/>
    </row>
    <row r="84" spans="1:2" ht="12.75" x14ac:dyDescent="0.2">
      <c r="A84" s="9"/>
      <c r="B84" s="9"/>
    </row>
    <row r="85" spans="1:2" ht="12.75" x14ac:dyDescent="0.2">
      <c r="A85" s="9"/>
      <c r="B85" s="9"/>
    </row>
    <row r="86" spans="1:2" ht="12.75" x14ac:dyDescent="0.2">
      <c r="A86" s="9"/>
      <c r="B86" s="9"/>
    </row>
    <row r="87" spans="1:2" ht="12.75" x14ac:dyDescent="0.2">
      <c r="A87" s="9"/>
      <c r="B87" s="9"/>
    </row>
    <row r="88" spans="1:2" ht="12.75" x14ac:dyDescent="0.2">
      <c r="A88" s="9"/>
      <c r="B88" s="9"/>
    </row>
    <row r="89" spans="1:2" ht="12.75" x14ac:dyDescent="0.2">
      <c r="A89" s="9"/>
      <c r="B89" s="9"/>
    </row>
    <row r="90" spans="1:2" ht="12.75" x14ac:dyDescent="0.2">
      <c r="A90" s="9"/>
      <c r="B90" s="9"/>
    </row>
    <row r="91" spans="1:2" ht="12.75" x14ac:dyDescent="0.2">
      <c r="A91" s="9"/>
      <c r="B91" s="9"/>
    </row>
    <row r="92" spans="1:2" ht="12.75" x14ac:dyDescent="0.2">
      <c r="A92" s="9"/>
      <c r="B92" s="9"/>
    </row>
    <row r="93" spans="1:2" ht="12.75" x14ac:dyDescent="0.2">
      <c r="A93" s="9"/>
      <c r="B93" s="9"/>
    </row>
    <row r="94" spans="1:2" ht="12.75" x14ac:dyDescent="0.2">
      <c r="A94" s="9"/>
      <c r="B94" s="9"/>
    </row>
    <row r="95" spans="1:2" ht="12.75" x14ac:dyDescent="0.2">
      <c r="A95" s="9"/>
      <c r="B95" s="9"/>
    </row>
    <row r="96" spans="1:2" ht="12.75" x14ac:dyDescent="0.2">
      <c r="A96" s="9"/>
      <c r="B96" s="9"/>
    </row>
    <row r="97" spans="1:2" ht="12.75" x14ac:dyDescent="0.2">
      <c r="A97" s="9"/>
      <c r="B97" s="9"/>
    </row>
    <row r="98" spans="1:2" ht="12.75" x14ac:dyDescent="0.2">
      <c r="A98" s="9"/>
      <c r="B98" s="9"/>
    </row>
    <row r="99" spans="1:2" ht="12.75" x14ac:dyDescent="0.2">
      <c r="A99" s="9"/>
      <c r="B99" s="9"/>
    </row>
    <row r="100" spans="1:2" ht="12.75" x14ac:dyDescent="0.2">
      <c r="A100" s="9"/>
      <c r="B100" s="9"/>
    </row>
  </sheetData>
  <pageMargins left="0.70866141732283472" right="0.70866141732283472" top="0.74803149606299213" bottom="0.74803149606299213" header="0.31496062992125984" footer="0.31496062992125984"/>
  <pageSetup paperSize="9" scale="5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Entry Form</vt:lpstr>
      <vt:lpstr>Dates</vt:lpstr>
      <vt:lpstr>AppMessages</vt:lpstr>
      <vt:lpstr>Schools</vt:lpstr>
      <vt:lpstr>Schools_names</vt:lpstr>
      <vt:lpstr>Universities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ΠΑΡΗΣ ΠΑΛΛΑΣ</dc:creator>
  <cp:lastModifiedBy>Πάρης</cp:lastModifiedBy>
  <cp:lastPrinted>2015-04-09T11:26:15Z</cp:lastPrinted>
  <dcterms:created xsi:type="dcterms:W3CDTF">2015-04-06T14:02:33Z</dcterms:created>
  <dcterms:modified xsi:type="dcterms:W3CDTF">2015-04-11T05:51:40Z</dcterms:modified>
</cp:coreProperties>
</file>